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envolvimento\wwwroot\Concursos\"/>
    </mc:Choice>
  </mc:AlternateContent>
  <xr:revisionPtr revIDLastSave="0" documentId="13_ncr:1_{B0D8424D-38E7-41CE-9424-884F77008BFD}" xr6:coauthVersionLast="47" xr6:coauthVersionMax="47" xr10:uidLastSave="{00000000-0000-0000-0000-000000000000}"/>
  <bookViews>
    <workbookView xWindow="-120" yWindow="-120" windowWidth="20730" windowHeight="11160" xr2:uid="{EC171855-D4D7-4A68-8BFE-66A15310D4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  <c r="V2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V1" i="1"/>
  <c r="V30" i="1" s="1"/>
  <c r="U1" i="1"/>
  <c r="E57" i="1"/>
  <c r="F57" i="1"/>
  <c r="N4" i="1" s="1"/>
  <c r="H57" i="1"/>
  <c r="I57" i="1"/>
  <c r="K57" i="1"/>
  <c r="E58" i="1"/>
  <c r="F58" i="1"/>
  <c r="K58" i="1" s="1"/>
  <c r="H58" i="1"/>
  <c r="I58" i="1"/>
  <c r="E59" i="1"/>
  <c r="F59" i="1"/>
  <c r="H59" i="1"/>
  <c r="I59" i="1"/>
  <c r="K59" i="1"/>
  <c r="N3" i="1"/>
  <c r="N2" i="1"/>
  <c r="H23" i="1"/>
  <c r="I23" i="1"/>
  <c r="H24" i="1"/>
  <c r="I24" i="1"/>
  <c r="H25" i="1"/>
  <c r="I25" i="1"/>
  <c r="N8" i="1" s="1"/>
  <c r="H26" i="1"/>
  <c r="I2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1" i="1"/>
  <c r="I1" i="1"/>
  <c r="N7" i="1" s="1"/>
  <c r="E2" i="1"/>
  <c r="H2" i="1"/>
  <c r="E3" i="1"/>
  <c r="H3" i="1"/>
  <c r="E4" i="1"/>
  <c r="H4" i="1"/>
  <c r="E5" i="1"/>
  <c r="H5" i="1"/>
  <c r="E6" i="1"/>
  <c r="H6" i="1"/>
  <c r="E7" i="1"/>
  <c r="H7" i="1"/>
  <c r="E8" i="1"/>
  <c r="H8" i="1"/>
  <c r="E9" i="1"/>
  <c r="H9" i="1"/>
  <c r="E10" i="1"/>
  <c r="H10" i="1"/>
  <c r="E11" i="1"/>
  <c r="H11" i="1"/>
  <c r="E12" i="1"/>
  <c r="H12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E24" i="1"/>
  <c r="E25" i="1"/>
  <c r="E26" i="1"/>
  <c r="E27" i="1"/>
  <c r="H27" i="1"/>
  <c r="E28" i="1"/>
  <c r="H2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E38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8" i="1"/>
  <c r="H48" i="1"/>
  <c r="E49" i="1"/>
  <c r="H49" i="1"/>
  <c r="E50" i="1"/>
  <c r="H50" i="1"/>
  <c r="E51" i="1"/>
  <c r="H51" i="1"/>
  <c r="E52" i="1"/>
  <c r="H52" i="1"/>
  <c r="E53" i="1"/>
  <c r="H53" i="1"/>
  <c r="E54" i="1"/>
  <c r="H54" i="1"/>
  <c r="E55" i="1"/>
  <c r="H55" i="1"/>
  <c r="E56" i="1"/>
  <c r="H56" i="1"/>
  <c r="H1" i="1"/>
  <c r="E1" i="1"/>
  <c r="N9" i="1" l="1"/>
  <c r="K26" i="1"/>
  <c r="K24" i="1"/>
  <c r="K23" i="1"/>
  <c r="K25" i="1"/>
  <c r="K18" i="1"/>
  <c r="K2" i="1"/>
  <c r="K10" i="1"/>
  <c r="N12" i="1"/>
  <c r="K1" i="1"/>
  <c r="K16" i="1"/>
  <c r="K8" i="1"/>
  <c r="K50" i="1"/>
  <c r="K42" i="1"/>
  <c r="K54" i="1"/>
  <c r="K46" i="1"/>
  <c r="K38" i="1"/>
  <c r="K30" i="1"/>
  <c r="K22" i="1"/>
  <c r="K14" i="1"/>
  <c r="K6" i="1"/>
  <c r="K34" i="1"/>
  <c r="K55" i="1"/>
  <c r="K47" i="1"/>
  <c r="K39" i="1"/>
  <c r="K31" i="1"/>
  <c r="K15" i="1"/>
  <c r="K7" i="1"/>
  <c r="K53" i="1"/>
  <c r="K45" i="1"/>
  <c r="K37" i="1"/>
  <c r="K29" i="1"/>
  <c r="K21" i="1"/>
  <c r="K13" i="1"/>
  <c r="K5" i="1"/>
  <c r="K52" i="1"/>
  <c r="K44" i="1"/>
  <c r="K36" i="1"/>
  <c r="K20" i="1"/>
  <c r="K12" i="1"/>
  <c r="K4" i="1"/>
  <c r="K51" i="1"/>
  <c r="K43" i="1"/>
  <c r="K35" i="1"/>
  <c r="K27" i="1"/>
  <c r="K19" i="1"/>
  <c r="K11" i="1"/>
  <c r="K3" i="1"/>
  <c r="K49" i="1"/>
  <c r="K41" i="1"/>
  <c r="K33" i="1"/>
  <c r="K17" i="1"/>
  <c r="K9" i="1"/>
  <c r="K56" i="1"/>
  <c r="K48" i="1"/>
  <c r="K40" i="1"/>
  <c r="K32" i="1"/>
  <c r="K28" i="1"/>
  <c r="N13" i="1" l="1"/>
  <c r="N11" i="1"/>
</calcChain>
</file>

<file path=xl/sharedStrings.xml><?xml version="1.0" encoding="utf-8"?>
<sst xmlns="http://schemas.openxmlformats.org/spreadsheetml/2006/main" count="151" uniqueCount="86">
  <si>
    <t>CONSULTA MANUAL: 4</t>
  </si>
  <si>
    <t>Acompanhar</t>
  </si>
  <si>
    <t>SÃO PAULO: 2</t>
  </si>
  <si>
    <t>Dispensados</t>
  </si>
  <si>
    <t>RIO DE JANEIRO: 2</t>
  </si>
  <si>
    <t>PIAUÍ: 2</t>
  </si>
  <si>
    <t>TOCANTINS: 1</t>
  </si>
  <si>
    <t>PARÁ: 3</t>
  </si>
  <si>
    <t>AMAPÁ: 1</t>
  </si>
  <si>
    <t>PARANÁ: 20</t>
  </si>
  <si>
    <t>REGIÃO SUDESTE: 2</t>
  </si>
  <si>
    <t>NÃO CLASSIFICADOS: 2</t>
  </si>
  <si>
    <t>Novo</t>
  </si>
  <si>
    <t>Dispensado</t>
  </si>
  <si>
    <t>Antes</t>
  </si>
  <si>
    <t>Depois</t>
  </si>
  <si>
    <t>PARANÁ: 34</t>
  </si>
  <si>
    <t>NACIONAL: 8</t>
  </si>
  <si>
    <t>DISTRITO FEDERAL: 3</t>
  </si>
  <si>
    <t>ESPÍRITO SANTO: 4</t>
  </si>
  <si>
    <t>GOIÁS: 1</t>
  </si>
  <si>
    <t>MATO GROSSO DO SUL: 2</t>
  </si>
  <si>
    <t>MATO GROSSO: 3</t>
  </si>
  <si>
    <t>RONDÔNIA: 1</t>
  </si>
  <si>
    <t>CEARÁ: 1</t>
  </si>
  <si>
    <t>MARANHÃO: 1</t>
  </si>
  <si>
    <t>PARAÍBA: 1</t>
  </si>
  <si>
    <t>PERNAMBUCO: 3</t>
  </si>
  <si>
    <t>NACIONAL: 1</t>
  </si>
  <si>
    <t>RIO DE JANEIRO: 8</t>
  </si>
  <si>
    <t>MINAS GERAIS: 105</t>
  </si>
  <si>
    <t>ESPÍRITO SANTO: 16</t>
  </si>
  <si>
    <t>RIO GRANDE DO SUL: 48</t>
  </si>
  <si>
    <t>SANTA CATARINA: 102</t>
  </si>
  <si>
    <t>MATO GROSSO DO SUL: 13</t>
  </si>
  <si>
    <t>GOIÁS: 19</t>
  </si>
  <si>
    <t>SERGIPE: 2</t>
  </si>
  <si>
    <t>RIO GRANDE DO NORTE: 4</t>
  </si>
  <si>
    <t>PIAUÍ: 5</t>
  </si>
  <si>
    <t>PERNAMBUCO: 9</t>
  </si>
  <si>
    <t>PARAÍBA: 6</t>
  </si>
  <si>
    <t>MARANHÃO: 6</t>
  </si>
  <si>
    <t>CEARÁ: 12</t>
  </si>
  <si>
    <t>BAHIA: 8</t>
  </si>
  <si>
    <t>ALAGOAS: 4</t>
  </si>
  <si>
    <t>RONDÔNIA: 4</t>
  </si>
  <si>
    <t>PARÁ: 5</t>
  </si>
  <si>
    <t>AMAZONAS: 4</t>
  </si>
  <si>
    <t>MATO GROSSO: 20</t>
  </si>
  <si>
    <t>NACIONAL: 2</t>
  </si>
  <si>
    <t>SÃO PAULO: 41</t>
  </si>
  <si>
    <t>PARANÁ: 16</t>
  </si>
  <si>
    <t>REGIÃO SUDESTE: 1</t>
  </si>
  <si>
    <t>SÃO PAULO: 112</t>
  </si>
  <si>
    <t>NÃO CLASSIFICADOS: 33</t>
  </si>
  <si>
    <t>MINAS GERAIS: 10</t>
  </si>
  <si>
    <t>RIO GRANDE DO SUL: 12</t>
  </si>
  <si>
    <t>SANTA CATARINA: 18</t>
  </si>
  <si>
    <t>SÃO PAULO: 1</t>
  </si>
  <si>
    <t>SÃO PAULO: 117</t>
  </si>
  <si>
    <t>NÃO CLASSIFICADOS: 42</t>
  </si>
  <si>
    <t>MINAS GERAIS: 11</t>
  </si>
  <si>
    <t>CONSULTA MANUAL: 24</t>
  </si>
  <si>
    <t>NACIONAL: 9</t>
  </si>
  <si>
    <t>RIO DE JANEIRO: 11</t>
  </si>
  <si>
    <t>DISTRITO FEDERAL: 5</t>
  </si>
  <si>
    <t>MATO GROSSO: 19</t>
  </si>
  <si>
    <t>AMAZONAS: 6</t>
  </si>
  <si>
    <t>PARÁ: 6</t>
  </si>
  <si>
    <t>RONDÔNIA: 5</t>
  </si>
  <si>
    <t>MARANHÃO: 5</t>
  </si>
  <si>
    <t>PARAÍBA: 7</t>
  </si>
  <si>
    <t>SERGIPE: 1</t>
  </si>
  <si>
    <t>SÃO PAULO: 140</t>
  </si>
  <si>
    <t>MINAS GERAIS: 93</t>
  </si>
  <si>
    <t>ESPÍRITO SANTO: 19</t>
  </si>
  <si>
    <t>PARANÁ: 41</t>
  </si>
  <si>
    <t>RIO GRANDE DO SUL: 52</t>
  </si>
  <si>
    <t>SANTA CATARINA: 113</t>
  </si>
  <si>
    <t>GOIÁS: 11</t>
  </si>
  <si>
    <t>MATO GROSSO DO SUL: 12</t>
  </si>
  <si>
    <t>ALAGOAS: 5</t>
  </si>
  <si>
    <t>BAHIA: 9</t>
  </si>
  <si>
    <t>CEARÁ: 10</t>
  </si>
  <si>
    <t>PERNAMBUCO: 12</t>
  </si>
  <si>
    <t>NÃO CLASSIFICADOS: 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</si>
</sst>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6974-EB35-4118-9C29-85D03159E6A3}">
  <dimension ref="A1:V59"/>
  <sheetViews>
    <sheetView tabSelected="1" topLeftCell="G13" workbookViewId="0">
      <selection activeCell="O20" sqref="O20"/>
    </sheetView>
  </sheetViews>
  <sheetFormatPr defaultRowHeight="15" x14ac:dyDescent="0.25"/>
  <cols>
    <col min="2" max="2" width="9.28515625" customWidth="1"/>
    <col min="5" max="5" width="11.140625" bestFit="1" customWidth="1"/>
    <col min="6" max="6" width="9.140625" style="1"/>
    <col min="8" max="8" width="22" bestFit="1" customWidth="1"/>
    <col min="9" max="9" width="9.140625" style="1"/>
    <col min="11" max="11" width="12.42578125" bestFit="1" customWidth="1"/>
    <col min="14" max="14" width="12.42578125" bestFit="1" customWidth="1"/>
  </cols>
  <sheetData>
    <row r="1" spans="1:22" x14ac:dyDescent="0.25">
      <c r="A1" s="2" t="s">
        <v>53</v>
      </c>
      <c r="C1" s="2" t="s">
        <v>59</v>
      </c>
      <c r="E1" t="str">
        <f>LEFT(A1,SEARCH(": ",A1)-1)</f>
        <v>SÃO PAULO</v>
      </c>
      <c r="F1" s="1">
        <f>VALUE(RIGHT(A1,LEN(A1)-SEARCH(": ",A1)-1))</f>
        <v>112</v>
      </c>
      <c r="H1" t="str">
        <f>LEFT(C1,SEARCH(": ",C1)-1)</f>
        <v>SÃO PAULO</v>
      </c>
      <c r="I1" s="1">
        <f>VALUE(RIGHT(C1,LEN(C1)-SEARCH(": ",C1)-1))</f>
        <v>117</v>
      </c>
      <c r="K1" t="str">
        <f>IF(F1=I1,F1=I1,(F1=I1)&amp;" "&amp;(I1-F1))</f>
        <v>FALSO 5</v>
      </c>
      <c r="M1" t="s">
        <v>14</v>
      </c>
      <c r="Q1" t="s">
        <v>62</v>
      </c>
      <c r="U1" t="str">
        <f>LEFT(Q1,SEARCH(": ",Q1)-1)</f>
        <v>CONSULTA MANUAL</v>
      </c>
      <c r="V1" s="1">
        <f>VALUE(RIGHT(Q1,LEN(Q1)-SEARCH(": ",Q1)-1))</f>
        <v>24</v>
      </c>
    </row>
    <row r="2" spans="1:22" x14ac:dyDescent="0.25">
      <c r="A2" s="2" t="s">
        <v>16</v>
      </c>
      <c r="C2" s="2" t="s">
        <v>16</v>
      </c>
      <c r="E2" t="str">
        <f t="shared" ref="E2:E56" si="0">LEFT(A2,SEARCH(": ",A2)-1)</f>
        <v>PARANÁ</v>
      </c>
      <c r="F2" s="1">
        <f t="shared" ref="F2:F56" si="1">VALUE(RIGHT(A2,LEN(A2)-SEARCH(": ",A2)-1))</f>
        <v>34</v>
      </c>
      <c r="H2" t="str">
        <f t="shared" ref="H2:H22" si="2">LEFT(C2,SEARCH(": ",C2)-1)</f>
        <v>PARANÁ</v>
      </c>
      <c r="I2" s="1">
        <f t="shared" ref="I2:I22" si="3">VALUE(RIGHT(C2,LEN(C2)-SEARCH(": ",C2)-1))</f>
        <v>34</v>
      </c>
      <c r="K2" t="b">
        <f t="shared" ref="K2:K56" si="4">IF(F2=I2,F2=I2,(F2=I2)&amp;" "&amp;(I2-F2))</f>
        <v>1</v>
      </c>
      <c r="M2" t="s">
        <v>12</v>
      </c>
      <c r="N2" s="1">
        <f>SUM(F1:F23)</f>
        <v>261</v>
      </c>
      <c r="Q2" t="s">
        <v>63</v>
      </c>
      <c r="U2" t="str">
        <f t="shared" ref="U2:U29" si="5">LEFT(Q2,SEARCH(": ",Q2)-1)</f>
        <v>NACIONAL</v>
      </c>
      <c r="V2" s="1">
        <f t="shared" ref="V2:V29" si="6">VALUE(RIGHT(Q2,LEN(Q2)-SEARCH(": ",Q2)-1))</f>
        <v>9</v>
      </c>
    </row>
    <row r="3" spans="1:22" x14ac:dyDescent="0.25">
      <c r="A3" s="2" t="s">
        <v>54</v>
      </c>
      <c r="C3" s="2" t="s">
        <v>60</v>
      </c>
      <c r="E3" t="str">
        <f t="shared" si="0"/>
        <v>NÃO CLASSIFICADOS</v>
      </c>
      <c r="F3" s="1">
        <f t="shared" si="1"/>
        <v>33</v>
      </c>
      <c r="H3" t="str">
        <f t="shared" si="2"/>
        <v>NÃO CLASSIFICADOS</v>
      </c>
      <c r="I3" s="1">
        <f t="shared" si="3"/>
        <v>42</v>
      </c>
      <c r="K3" t="str">
        <f t="shared" si="4"/>
        <v>FALSO 9</v>
      </c>
      <c r="M3" t="s">
        <v>1</v>
      </c>
      <c r="N3" s="1">
        <f>SUM(F25:F26)</f>
        <v>3</v>
      </c>
      <c r="Q3" t="s">
        <v>52</v>
      </c>
      <c r="U3" t="str">
        <f t="shared" si="5"/>
        <v>REGIÃO SUDESTE</v>
      </c>
      <c r="V3" s="1">
        <f t="shared" si="6"/>
        <v>1</v>
      </c>
    </row>
    <row r="4" spans="1:22" x14ac:dyDescent="0.25">
      <c r="A4" s="2" t="s">
        <v>17</v>
      </c>
      <c r="C4" s="2" t="s">
        <v>17</v>
      </c>
      <c r="E4" t="str">
        <f t="shared" si="0"/>
        <v>NACIONAL</v>
      </c>
      <c r="F4" s="1">
        <f t="shared" si="1"/>
        <v>8</v>
      </c>
      <c r="H4" t="str">
        <f t="shared" si="2"/>
        <v>NACIONAL</v>
      </c>
      <c r="I4" s="1">
        <f t="shared" si="3"/>
        <v>8</v>
      </c>
      <c r="K4" t="b">
        <f t="shared" si="4"/>
        <v>1</v>
      </c>
      <c r="M4" t="s">
        <v>13</v>
      </c>
      <c r="N4" s="1">
        <f>SUM(F28:F57)</f>
        <v>488</v>
      </c>
      <c r="Q4" t="s">
        <v>73</v>
      </c>
      <c r="U4" t="str">
        <f t="shared" si="5"/>
        <v>SÃO PAULO</v>
      </c>
      <c r="V4" s="1">
        <f t="shared" si="6"/>
        <v>140</v>
      </c>
    </row>
    <row r="5" spans="1:22" x14ac:dyDescent="0.25">
      <c r="A5" s="2" t="s">
        <v>0</v>
      </c>
      <c r="C5" s="2" t="s">
        <v>0</v>
      </c>
      <c r="E5" t="str">
        <f t="shared" si="0"/>
        <v>CONSULTA MANUAL</v>
      </c>
      <c r="F5" s="1">
        <f t="shared" si="1"/>
        <v>4</v>
      </c>
      <c r="H5" t="str">
        <f t="shared" si="2"/>
        <v>CONSULTA MANUAL</v>
      </c>
      <c r="I5" s="1">
        <f t="shared" si="3"/>
        <v>4</v>
      </c>
      <c r="K5" t="b">
        <f t="shared" si="4"/>
        <v>1</v>
      </c>
      <c r="Q5" t="s">
        <v>64</v>
      </c>
      <c r="U5" t="str">
        <f t="shared" si="5"/>
        <v>RIO DE JANEIRO</v>
      </c>
      <c r="V5" s="1">
        <f t="shared" si="6"/>
        <v>11</v>
      </c>
    </row>
    <row r="6" spans="1:22" x14ac:dyDescent="0.25">
      <c r="A6" s="2" t="s">
        <v>18</v>
      </c>
      <c r="C6" s="2" t="s">
        <v>18</v>
      </c>
      <c r="E6" t="str">
        <f t="shared" si="0"/>
        <v>DISTRITO FEDERAL</v>
      </c>
      <c r="F6" s="1">
        <f t="shared" si="1"/>
        <v>3</v>
      </c>
      <c r="H6" t="str">
        <f t="shared" si="2"/>
        <v>DISTRITO FEDERAL</v>
      </c>
      <c r="I6" s="1">
        <f t="shared" si="3"/>
        <v>3</v>
      </c>
      <c r="K6" t="b">
        <f t="shared" si="4"/>
        <v>1</v>
      </c>
      <c r="M6" t="s">
        <v>15</v>
      </c>
      <c r="Q6" t="s">
        <v>74</v>
      </c>
      <c r="U6" t="str">
        <f t="shared" si="5"/>
        <v>MINAS GERAIS</v>
      </c>
      <c r="V6" s="1">
        <f t="shared" si="6"/>
        <v>93</v>
      </c>
    </row>
    <row r="7" spans="1:22" x14ac:dyDescent="0.25">
      <c r="A7" s="2" t="s">
        <v>10</v>
      </c>
      <c r="C7" s="2" t="s">
        <v>10</v>
      </c>
      <c r="E7" t="str">
        <f t="shared" si="0"/>
        <v>REGIÃO SUDESTE</v>
      </c>
      <c r="F7" s="1">
        <f t="shared" si="1"/>
        <v>2</v>
      </c>
      <c r="H7" t="str">
        <f t="shared" si="2"/>
        <v>REGIÃO SUDESTE</v>
      </c>
      <c r="I7" s="1">
        <f t="shared" si="3"/>
        <v>2</v>
      </c>
      <c r="K7" t="b">
        <f t="shared" si="4"/>
        <v>1</v>
      </c>
      <c r="M7" t="s">
        <v>12</v>
      </c>
      <c r="N7" s="1">
        <f>SUM(I1:I23)</f>
        <v>276</v>
      </c>
      <c r="Q7" t="s">
        <v>75</v>
      </c>
      <c r="U7" t="str">
        <f t="shared" si="5"/>
        <v>ESPÍRITO SANTO</v>
      </c>
      <c r="V7" s="1">
        <f t="shared" si="6"/>
        <v>19</v>
      </c>
    </row>
    <row r="8" spans="1:22" x14ac:dyDescent="0.25">
      <c r="A8" s="2" t="s">
        <v>4</v>
      </c>
      <c r="C8" s="2" t="s">
        <v>4</v>
      </c>
      <c r="E8" t="str">
        <f t="shared" si="0"/>
        <v>RIO DE JANEIRO</v>
      </c>
      <c r="F8" s="1">
        <f t="shared" si="1"/>
        <v>2</v>
      </c>
      <c r="H8" t="str">
        <f t="shared" si="2"/>
        <v>RIO DE JANEIRO</v>
      </c>
      <c r="I8" s="1">
        <f t="shared" si="3"/>
        <v>2</v>
      </c>
      <c r="K8" t="b">
        <f t="shared" si="4"/>
        <v>1</v>
      </c>
      <c r="M8" t="s">
        <v>1</v>
      </c>
      <c r="N8" s="1">
        <f>SUM(I25:I26)</f>
        <v>2</v>
      </c>
      <c r="Q8" t="s">
        <v>76</v>
      </c>
      <c r="U8" t="str">
        <f t="shared" si="5"/>
        <v>PARANÁ</v>
      </c>
      <c r="V8" s="1">
        <f t="shared" si="6"/>
        <v>41</v>
      </c>
    </row>
    <row r="9" spans="1:22" x14ac:dyDescent="0.25">
      <c r="A9" s="2" t="s">
        <v>55</v>
      </c>
      <c r="C9" s="2" t="s">
        <v>61</v>
      </c>
      <c r="E9" t="str">
        <f t="shared" si="0"/>
        <v>MINAS GERAIS</v>
      </c>
      <c r="F9" s="1">
        <f t="shared" si="1"/>
        <v>10</v>
      </c>
      <c r="H9" t="str">
        <f t="shared" si="2"/>
        <v>MINAS GERAIS</v>
      </c>
      <c r="I9" s="1">
        <f t="shared" si="3"/>
        <v>11</v>
      </c>
      <c r="K9" t="str">
        <f t="shared" si="4"/>
        <v>FALSO 1</v>
      </c>
      <c r="M9" t="s">
        <v>13</v>
      </c>
      <c r="N9" s="1" t="e">
        <f>SUM(I28:I57)</f>
        <v>#VALUE!</v>
      </c>
      <c r="Q9" t="s">
        <v>77</v>
      </c>
      <c r="U9" t="str">
        <f t="shared" si="5"/>
        <v>RIO GRANDE DO SUL</v>
      </c>
      <c r="V9" s="1">
        <f t="shared" si="6"/>
        <v>52</v>
      </c>
    </row>
    <row r="10" spans="1:22" x14ac:dyDescent="0.25">
      <c r="A10" s="2" t="s">
        <v>19</v>
      </c>
      <c r="C10" s="2" t="s">
        <v>19</v>
      </c>
      <c r="E10" t="str">
        <f t="shared" si="0"/>
        <v>ESPÍRITO SANTO</v>
      </c>
      <c r="F10" s="1">
        <f t="shared" si="1"/>
        <v>4</v>
      </c>
      <c r="H10" t="str">
        <f t="shared" si="2"/>
        <v>ESPÍRITO SANTO</v>
      </c>
      <c r="I10" s="1">
        <f t="shared" si="3"/>
        <v>4</v>
      </c>
      <c r="K10" t="b">
        <f t="shared" si="4"/>
        <v>1</v>
      </c>
      <c r="Q10" t="s">
        <v>78</v>
      </c>
      <c r="U10" t="str">
        <f t="shared" si="5"/>
        <v>SANTA CATARINA</v>
      </c>
      <c r="V10" s="1">
        <f t="shared" si="6"/>
        <v>113</v>
      </c>
    </row>
    <row r="11" spans="1:22" x14ac:dyDescent="0.25">
      <c r="A11" s="2" t="s">
        <v>56</v>
      </c>
      <c r="C11" s="2" t="s">
        <v>56</v>
      </c>
      <c r="E11" t="str">
        <f t="shared" si="0"/>
        <v>RIO GRANDE DO SUL</v>
      </c>
      <c r="F11" s="1">
        <f t="shared" si="1"/>
        <v>12</v>
      </c>
      <c r="H11" t="str">
        <f t="shared" si="2"/>
        <v>RIO GRANDE DO SUL</v>
      </c>
      <c r="I11" s="1">
        <f t="shared" si="3"/>
        <v>12</v>
      </c>
      <c r="K11" t="b">
        <f t="shared" si="4"/>
        <v>1</v>
      </c>
      <c r="M11" t="s">
        <v>12</v>
      </c>
      <c r="N11" t="b">
        <f>N2=N7</f>
        <v>0</v>
      </c>
      <c r="Q11" t="s">
        <v>65</v>
      </c>
      <c r="U11" t="str">
        <f t="shared" si="5"/>
        <v>DISTRITO FEDERAL</v>
      </c>
      <c r="V11" s="1">
        <f t="shared" si="6"/>
        <v>5</v>
      </c>
    </row>
    <row r="12" spans="1:22" x14ac:dyDescent="0.25">
      <c r="A12" s="2" t="s">
        <v>57</v>
      </c>
      <c r="C12" s="2" t="s">
        <v>57</v>
      </c>
      <c r="E12" t="str">
        <f t="shared" si="0"/>
        <v>SANTA CATARINA</v>
      </c>
      <c r="F12" s="1">
        <f t="shared" si="1"/>
        <v>18</v>
      </c>
      <c r="H12" t="str">
        <f t="shared" si="2"/>
        <v>SANTA CATARINA</v>
      </c>
      <c r="I12" s="1">
        <f t="shared" si="3"/>
        <v>18</v>
      </c>
      <c r="K12" t="b">
        <f t="shared" si="4"/>
        <v>1</v>
      </c>
      <c r="M12" t="s">
        <v>1</v>
      </c>
      <c r="N12" t="b">
        <f t="shared" ref="N12:N13" si="7">N3=N8</f>
        <v>0</v>
      </c>
      <c r="Q12" t="s">
        <v>79</v>
      </c>
      <c r="U12" t="str">
        <f t="shared" si="5"/>
        <v>GOIÁS</v>
      </c>
      <c r="V12" s="1">
        <f t="shared" si="6"/>
        <v>11</v>
      </c>
    </row>
    <row r="13" spans="1:22" x14ac:dyDescent="0.25">
      <c r="A13" s="2" t="s">
        <v>20</v>
      </c>
      <c r="C13" s="2" t="s">
        <v>20</v>
      </c>
      <c r="E13" t="str">
        <f t="shared" si="0"/>
        <v>GOIÁS</v>
      </c>
      <c r="F13" s="1">
        <f t="shared" si="1"/>
        <v>1</v>
      </c>
      <c r="H13" t="str">
        <f t="shared" si="2"/>
        <v>GOIÁS</v>
      </c>
      <c r="I13" s="1">
        <f t="shared" si="3"/>
        <v>1</v>
      </c>
      <c r="K13" t="b">
        <f t="shared" si="4"/>
        <v>1</v>
      </c>
      <c r="M13" t="s">
        <v>13</v>
      </c>
      <c r="N13" t="e">
        <f t="shared" si="7"/>
        <v>#VALUE!</v>
      </c>
      <c r="Q13" t="s">
        <v>80</v>
      </c>
      <c r="U13" t="str">
        <f t="shared" si="5"/>
        <v>MATO GROSSO DO SUL</v>
      </c>
      <c r="V13" s="1">
        <f t="shared" si="6"/>
        <v>12</v>
      </c>
    </row>
    <row r="14" spans="1:22" x14ac:dyDescent="0.25">
      <c r="A14" s="2" t="s">
        <v>21</v>
      </c>
      <c r="C14" s="2" t="s">
        <v>21</v>
      </c>
      <c r="E14" t="str">
        <f t="shared" si="0"/>
        <v>MATO GROSSO DO SUL</v>
      </c>
      <c r="F14" s="1">
        <f t="shared" si="1"/>
        <v>2</v>
      </c>
      <c r="H14" t="str">
        <f t="shared" si="2"/>
        <v>MATO GROSSO DO SUL</v>
      </c>
      <c r="I14" s="1">
        <f t="shared" si="3"/>
        <v>2</v>
      </c>
      <c r="K14" t="b">
        <f t="shared" si="4"/>
        <v>1</v>
      </c>
      <c r="Q14" t="s">
        <v>66</v>
      </c>
      <c r="U14" t="str">
        <f t="shared" si="5"/>
        <v>MATO GROSSO</v>
      </c>
      <c r="V14" s="1">
        <f t="shared" si="6"/>
        <v>19</v>
      </c>
    </row>
    <row r="15" spans="1:22" x14ac:dyDescent="0.25">
      <c r="A15" s="2" t="s">
        <v>22</v>
      </c>
      <c r="C15" s="2" t="s">
        <v>22</v>
      </c>
      <c r="E15" t="str">
        <f t="shared" si="0"/>
        <v>MATO GROSSO</v>
      </c>
      <c r="F15" s="1">
        <f t="shared" si="1"/>
        <v>3</v>
      </c>
      <c r="H15" t="str">
        <f t="shared" si="2"/>
        <v>MATO GROSSO</v>
      </c>
      <c r="I15" s="1">
        <f t="shared" si="3"/>
        <v>3</v>
      </c>
      <c r="K15" t="b">
        <f t="shared" si="4"/>
        <v>1</v>
      </c>
      <c r="Q15" t="s">
        <v>67</v>
      </c>
      <c r="U15" t="str">
        <f t="shared" si="5"/>
        <v>AMAZONAS</v>
      </c>
      <c r="V15" s="1">
        <f t="shared" si="6"/>
        <v>6</v>
      </c>
    </row>
    <row r="16" spans="1:22" x14ac:dyDescent="0.25">
      <c r="A16" s="2" t="s">
        <v>7</v>
      </c>
      <c r="C16" s="2" t="s">
        <v>7</v>
      </c>
      <c r="E16" t="str">
        <f t="shared" si="0"/>
        <v>PARÁ</v>
      </c>
      <c r="F16" s="1">
        <f t="shared" si="1"/>
        <v>3</v>
      </c>
      <c r="H16" t="str">
        <f t="shared" si="2"/>
        <v>PARÁ</v>
      </c>
      <c r="I16" s="1">
        <f t="shared" si="3"/>
        <v>3</v>
      </c>
      <c r="K16" t="b">
        <f t="shared" si="4"/>
        <v>1</v>
      </c>
      <c r="Q16" t="s">
        <v>8</v>
      </c>
      <c r="U16" t="str">
        <f t="shared" si="5"/>
        <v>AMAPÁ</v>
      </c>
      <c r="V16" s="1">
        <f t="shared" si="6"/>
        <v>1</v>
      </c>
    </row>
    <row r="17" spans="1:22" x14ac:dyDescent="0.25">
      <c r="A17" s="2" t="s">
        <v>23</v>
      </c>
      <c r="C17" s="2" t="s">
        <v>23</v>
      </c>
      <c r="E17" t="str">
        <f t="shared" si="0"/>
        <v>RONDÔNIA</v>
      </c>
      <c r="F17" s="1">
        <f t="shared" si="1"/>
        <v>1</v>
      </c>
      <c r="H17" t="str">
        <f t="shared" si="2"/>
        <v>RONDÔNIA</v>
      </c>
      <c r="I17" s="1">
        <f t="shared" si="3"/>
        <v>1</v>
      </c>
      <c r="K17" t="b">
        <f t="shared" si="4"/>
        <v>1</v>
      </c>
      <c r="Q17" t="s">
        <v>68</v>
      </c>
      <c r="U17" t="str">
        <f t="shared" si="5"/>
        <v>PARÁ</v>
      </c>
      <c r="V17" s="1">
        <f t="shared" si="6"/>
        <v>6</v>
      </c>
    </row>
    <row r="18" spans="1:22" x14ac:dyDescent="0.25">
      <c r="A18" s="2" t="s">
        <v>24</v>
      </c>
      <c r="C18" s="2" t="s">
        <v>24</v>
      </c>
      <c r="E18" t="str">
        <f t="shared" si="0"/>
        <v>CEARÁ</v>
      </c>
      <c r="F18" s="1">
        <f t="shared" si="1"/>
        <v>1</v>
      </c>
      <c r="H18" t="str">
        <f t="shared" si="2"/>
        <v>CEARÁ</v>
      </c>
      <c r="I18" s="1">
        <f t="shared" si="3"/>
        <v>1</v>
      </c>
      <c r="K18" t="b">
        <f t="shared" si="4"/>
        <v>1</v>
      </c>
      <c r="Q18" t="s">
        <v>69</v>
      </c>
      <c r="U18" t="str">
        <f t="shared" si="5"/>
        <v>RONDÔNIA</v>
      </c>
      <c r="V18" s="1">
        <f t="shared" si="6"/>
        <v>5</v>
      </c>
    </row>
    <row r="19" spans="1:22" x14ac:dyDescent="0.25">
      <c r="A19" s="2" t="s">
        <v>25</v>
      </c>
      <c r="C19" s="2" t="s">
        <v>25</v>
      </c>
      <c r="E19" t="str">
        <f t="shared" si="0"/>
        <v>MARANHÃO</v>
      </c>
      <c r="F19" s="1">
        <f t="shared" si="1"/>
        <v>1</v>
      </c>
      <c r="H19" t="str">
        <f t="shared" si="2"/>
        <v>MARANHÃO</v>
      </c>
      <c r="I19" s="1">
        <f t="shared" si="3"/>
        <v>1</v>
      </c>
      <c r="K19" t="b">
        <f t="shared" si="4"/>
        <v>1</v>
      </c>
      <c r="Q19" t="s">
        <v>6</v>
      </c>
      <c r="U19" t="str">
        <f t="shared" si="5"/>
        <v>TOCANTINS</v>
      </c>
      <c r="V19" s="1">
        <f t="shared" si="6"/>
        <v>1</v>
      </c>
    </row>
    <row r="20" spans="1:22" x14ac:dyDescent="0.25">
      <c r="A20" s="2" t="s">
        <v>26</v>
      </c>
      <c r="C20" s="2" t="s">
        <v>26</v>
      </c>
      <c r="E20" t="str">
        <f t="shared" si="0"/>
        <v>PARAÍBA</v>
      </c>
      <c r="F20" s="1">
        <f t="shared" si="1"/>
        <v>1</v>
      </c>
      <c r="H20" t="str">
        <f t="shared" si="2"/>
        <v>PARAÍBA</v>
      </c>
      <c r="I20" s="1">
        <f t="shared" si="3"/>
        <v>1</v>
      </c>
      <c r="K20" t="b">
        <f t="shared" si="4"/>
        <v>1</v>
      </c>
      <c r="Q20" t="s">
        <v>81</v>
      </c>
      <c r="U20" t="str">
        <f t="shared" si="5"/>
        <v>ALAGOAS</v>
      </c>
      <c r="V20" s="1">
        <f t="shared" si="6"/>
        <v>5</v>
      </c>
    </row>
    <row r="21" spans="1:22" x14ac:dyDescent="0.25">
      <c r="A21" s="2" t="s">
        <v>27</v>
      </c>
      <c r="C21" s="2" t="s">
        <v>27</v>
      </c>
      <c r="E21" t="str">
        <f t="shared" si="0"/>
        <v>PERNAMBUCO</v>
      </c>
      <c r="F21" s="1">
        <f t="shared" si="1"/>
        <v>3</v>
      </c>
      <c r="H21" t="str">
        <f t="shared" si="2"/>
        <v>PERNAMBUCO</v>
      </c>
      <c r="I21" s="1">
        <f t="shared" si="3"/>
        <v>3</v>
      </c>
      <c r="K21" t="b">
        <f t="shared" si="4"/>
        <v>1</v>
      </c>
      <c r="Q21" t="s">
        <v>82</v>
      </c>
      <c r="U21" t="str">
        <f t="shared" si="5"/>
        <v>BAHIA</v>
      </c>
      <c r="V21" s="1">
        <f t="shared" si="6"/>
        <v>9</v>
      </c>
    </row>
    <row r="22" spans="1:22" x14ac:dyDescent="0.25">
      <c r="A22" s="2" t="s">
        <v>5</v>
      </c>
      <c r="C22" s="2" t="s">
        <v>5</v>
      </c>
      <c r="E22" t="str">
        <f t="shared" si="0"/>
        <v>PIAUÍ</v>
      </c>
      <c r="F22" s="1">
        <f t="shared" si="1"/>
        <v>2</v>
      </c>
      <c r="H22" t="str">
        <f t="shared" si="2"/>
        <v>PIAUÍ</v>
      </c>
      <c r="I22" s="1">
        <f t="shared" si="3"/>
        <v>2</v>
      </c>
      <c r="K22" t="b">
        <f t="shared" si="4"/>
        <v>1</v>
      </c>
      <c r="Q22" t="s">
        <v>83</v>
      </c>
      <c r="U22" t="str">
        <f t="shared" si="5"/>
        <v>CEARÁ</v>
      </c>
      <c r="V22" s="1">
        <f t="shared" si="6"/>
        <v>10</v>
      </c>
    </row>
    <row r="23" spans="1:22" x14ac:dyDescent="0.25">
      <c r="A23" s="2" t="s">
        <v>8</v>
      </c>
      <c r="C23" s="2" t="s">
        <v>8</v>
      </c>
      <c r="E23" t="str">
        <f t="shared" si="0"/>
        <v>AMAPÁ</v>
      </c>
      <c r="F23" s="1">
        <f t="shared" si="1"/>
        <v>1</v>
      </c>
      <c r="H23" t="str">
        <f t="shared" ref="H23:H26" si="8">LEFT(C23,SEARCH(": ",C23)-1)</f>
        <v>AMAPÁ</v>
      </c>
      <c r="I23" s="1">
        <f t="shared" ref="I23:I26" si="9">VALUE(RIGHT(C23,LEN(C23)-SEARCH(": ",C23)-1))</f>
        <v>1</v>
      </c>
      <c r="K23" t="b">
        <f t="shared" ref="K23:K26" si="10">IF(F23=I23,F23=I23,(F23=I23)&amp;" "&amp;(I23-F23))</f>
        <v>1</v>
      </c>
      <c r="Q23" t="s">
        <v>70</v>
      </c>
      <c r="U23" t="str">
        <f t="shared" si="5"/>
        <v>MARANHÃO</v>
      </c>
      <c r="V23" s="1">
        <f t="shared" si="6"/>
        <v>5</v>
      </c>
    </row>
    <row r="24" spans="1:22" x14ac:dyDescent="0.25">
      <c r="A24" s="2" t="s">
        <v>1</v>
      </c>
      <c r="C24" s="2" t="s">
        <v>1</v>
      </c>
      <c r="E24" t="e">
        <f t="shared" si="0"/>
        <v>#VALUE!</v>
      </c>
      <c r="F24" s="1" t="e">
        <f t="shared" si="1"/>
        <v>#VALUE!</v>
      </c>
      <c r="H24" t="e">
        <f t="shared" si="8"/>
        <v>#VALUE!</v>
      </c>
      <c r="I24" s="1" t="e">
        <f t="shared" si="9"/>
        <v>#VALUE!</v>
      </c>
      <c r="K24" t="e">
        <f t="shared" si="10"/>
        <v>#VALUE!</v>
      </c>
      <c r="Q24" t="s">
        <v>71</v>
      </c>
      <c r="U24" t="str">
        <f t="shared" si="5"/>
        <v>PARAÍBA</v>
      </c>
      <c r="V24" s="1">
        <f t="shared" si="6"/>
        <v>7</v>
      </c>
    </row>
    <row r="25" spans="1:22" x14ac:dyDescent="0.25">
      <c r="A25" s="2" t="s">
        <v>2</v>
      </c>
      <c r="C25" s="2" t="s">
        <v>58</v>
      </c>
      <c r="E25" t="str">
        <f t="shared" si="0"/>
        <v>SÃO PAULO</v>
      </c>
      <c r="F25" s="1">
        <f t="shared" si="1"/>
        <v>2</v>
      </c>
      <c r="H25" t="str">
        <f t="shared" si="8"/>
        <v>SÃO PAULO</v>
      </c>
      <c r="I25" s="1">
        <f t="shared" si="9"/>
        <v>1</v>
      </c>
      <c r="K25" t="str">
        <f t="shared" si="10"/>
        <v>FALSO -1</v>
      </c>
      <c r="Q25" t="s">
        <v>84</v>
      </c>
      <c r="U25" t="str">
        <f t="shared" si="5"/>
        <v>PERNAMBUCO</v>
      </c>
      <c r="V25" s="1">
        <f t="shared" si="6"/>
        <v>12</v>
      </c>
    </row>
    <row r="26" spans="1:22" x14ac:dyDescent="0.25">
      <c r="A26" s="2" t="s">
        <v>28</v>
      </c>
      <c r="C26" s="2" t="s">
        <v>28</v>
      </c>
      <c r="E26" t="str">
        <f t="shared" si="0"/>
        <v>NACIONAL</v>
      </c>
      <c r="F26" s="1">
        <f t="shared" si="1"/>
        <v>1</v>
      </c>
      <c r="H26" t="str">
        <f t="shared" si="8"/>
        <v>NACIONAL</v>
      </c>
      <c r="I26" s="1">
        <f t="shared" si="9"/>
        <v>1</v>
      </c>
      <c r="K26" t="b">
        <f t="shared" si="10"/>
        <v>1</v>
      </c>
      <c r="Q26" t="s">
        <v>38</v>
      </c>
      <c r="U26" t="str">
        <f t="shared" si="5"/>
        <v>PIAUÍ</v>
      </c>
      <c r="V26" s="1">
        <f t="shared" si="6"/>
        <v>5</v>
      </c>
    </row>
    <row r="27" spans="1:22" x14ac:dyDescent="0.25">
      <c r="A27" s="2" t="s">
        <v>3</v>
      </c>
      <c r="C27" s="2" t="s">
        <v>3</v>
      </c>
      <c r="E27" t="e">
        <f t="shared" si="0"/>
        <v>#VALUE!</v>
      </c>
      <c r="F27" s="1" t="e">
        <f t="shared" si="1"/>
        <v>#VALUE!</v>
      </c>
      <c r="H27" t="e">
        <f t="shared" ref="H27:H56" si="11">LEFT(C27,SEARCH(": ",C27)-1)</f>
        <v>#VALUE!</v>
      </c>
      <c r="I27" s="1" t="e">
        <f t="shared" ref="I27:I56" si="12">VALUE(RIGHT(C27,LEN(C27)-SEARCH(": ",C27)-1))</f>
        <v>#VALUE!</v>
      </c>
      <c r="K27" t="e">
        <f t="shared" si="4"/>
        <v>#VALUE!</v>
      </c>
      <c r="Q27" t="s">
        <v>37</v>
      </c>
      <c r="U27" t="str">
        <f t="shared" si="5"/>
        <v>RIO GRANDE DO NORTE</v>
      </c>
      <c r="V27" s="1">
        <f t="shared" si="6"/>
        <v>4</v>
      </c>
    </row>
    <row r="28" spans="1:22" x14ac:dyDescent="0.25">
      <c r="A28" s="2" t="s">
        <v>29</v>
      </c>
      <c r="C28" s="2" t="s">
        <v>29</v>
      </c>
      <c r="E28" t="str">
        <f t="shared" si="0"/>
        <v>RIO DE JANEIRO</v>
      </c>
      <c r="F28" s="1">
        <f t="shared" si="1"/>
        <v>8</v>
      </c>
      <c r="H28" t="str">
        <f t="shared" si="11"/>
        <v>RIO DE JANEIRO</v>
      </c>
      <c r="I28" s="1">
        <f t="shared" si="12"/>
        <v>8</v>
      </c>
      <c r="K28" t="b">
        <f t="shared" si="4"/>
        <v>1</v>
      </c>
      <c r="Q28" t="s">
        <v>72</v>
      </c>
      <c r="U28" t="str">
        <f t="shared" si="5"/>
        <v>SERGIPE</v>
      </c>
      <c r="V28" s="1">
        <f t="shared" si="6"/>
        <v>1</v>
      </c>
    </row>
    <row r="29" spans="1:22" x14ac:dyDescent="0.25">
      <c r="A29" s="2" t="s">
        <v>30</v>
      </c>
      <c r="C29" s="2" t="s">
        <v>30</v>
      </c>
      <c r="E29" t="str">
        <f t="shared" si="0"/>
        <v>MINAS GERAIS</v>
      </c>
      <c r="F29" s="1">
        <f t="shared" si="1"/>
        <v>105</v>
      </c>
      <c r="H29" t="str">
        <f t="shared" si="11"/>
        <v>MINAS GERAIS</v>
      </c>
      <c r="I29" s="1">
        <f t="shared" si="12"/>
        <v>105</v>
      </c>
      <c r="K29" t="b">
        <f t="shared" si="4"/>
        <v>1</v>
      </c>
      <c r="Q29" t="s">
        <v>85</v>
      </c>
      <c r="U29" t="str">
        <f t="shared" si="5"/>
        <v>NÃO CLASSIFICADOS</v>
      </c>
      <c r="V29" s="1">
        <f t="shared" si="6"/>
        <v>149</v>
      </c>
    </row>
    <row r="30" spans="1:22" x14ac:dyDescent="0.25">
      <c r="A30" s="2" t="s">
        <v>31</v>
      </c>
      <c r="C30" s="2" t="s">
        <v>31</v>
      </c>
      <c r="E30" t="str">
        <f t="shared" si="0"/>
        <v>ESPÍRITO SANTO</v>
      </c>
      <c r="F30" s="1">
        <f t="shared" si="1"/>
        <v>16</v>
      </c>
      <c r="H30" t="str">
        <f t="shared" si="11"/>
        <v>ESPÍRITO SANTO</v>
      </c>
      <c r="I30" s="1">
        <f t="shared" si="12"/>
        <v>16</v>
      </c>
      <c r="K30" t="b">
        <f t="shared" si="4"/>
        <v>1</v>
      </c>
      <c r="V30" s="1">
        <f>SUM(V1:V29)</f>
        <v>776</v>
      </c>
    </row>
    <row r="31" spans="1:22" x14ac:dyDescent="0.25">
      <c r="A31" s="2" t="s">
        <v>32</v>
      </c>
      <c r="C31" s="2" t="s">
        <v>32</v>
      </c>
      <c r="E31" t="str">
        <f t="shared" si="0"/>
        <v>RIO GRANDE DO SUL</v>
      </c>
      <c r="F31" s="1">
        <f t="shared" si="1"/>
        <v>48</v>
      </c>
      <c r="H31" t="str">
        <f t="shared" si="11"/>
        <v>RIO GRANDE DO SUL</v>
      </c>
      <c r="I31" s="1">
        <f t="shared" si="12"/>
        <v>48</v>
      </c>
      <c r="K31" t="b">
        <f t="shared" si="4"/>
        <v>1</v>
      </c>
    </row>
    <row r="32" spans="1:22" x14ac:dyDescent="0.25">
      <c r="A32" s="2" t="s">
        <v>33</v>
      </c>
      <c r="C32" s="2" t="s">
        <v>33</v>
      </c>
      <c r="E32" t="str">
        <f t="shared" si="0"/>
        <v>SANTA CATARINA</v>
      </c>
      <c r="F32" s="1">
        <f t="shared" si="1"/>
        <v>102</v>
      </c>
      <c r="H32" t="str">
        <f t="shared" si="11"/>
        <v>SANTA CATARINA</v>
      </c>
      <c r="I32" s="1">
        <f t="shared" si="12"/>
        <v>102</v>
      </c>
      <c r="K32" t="b">
        <f t="shared" si="4"/>
        <v>1</v>
      </c>
    </row>
    <row r="33" spans="1:11" x14ac:dyDescent="0.25">
      <c r="A33" s="2" t="s">
        <v>34</v>
      </c>
      <c r="C33" s="2" t="s">
        <v>34</v>
      </c>
      <c r="E33" t="str">
        <f t="shared" si="0"/>
        <v>MATO GROSSO DO SUL</v>
      </c>
      <c r="F33" s="1">
        <f t="shared" si="1"/>
        <v>13</v>
      </c>
      <c r="H33" t="str">
        <f t="shared" si="11"/>
        <v>MATO GROSSO DO SUL</v>
      </c>
      <c r="I33" s="1">
        <f t="shared" si="12"/>
        <v>13</v>
      </c>
      <c r="K33" t="b">
        <f t="shared" si="4"/>
        <v>1</v>
      </c>
    </row>
    <row r="34" spans="1:11" x14ac:dyDescent="0.25">
      <c r="A34" s="2" t="s">
        <v>35</v>
      </c>
      <c r="C34" s="2" t="s">
        <v>35</v>
      </c>
      <c r="E34" t="str">
        <f t="shared" si="0"/>
        <v>GOIÁS</v>
      </c>
      <c r="F34" s="1">
        <f t="shared" si="1"/>
        <v>19</v>
      </c>
      <c r="H34" t="str">
        <f t="shared" si="11"/>
        <v>GOIÁS</v>
      </c>
      <c r="I34" s="1">
        <f t="shared" si="12"/>
        <v>19</v>
      </c>
      <c r="K34" t="b">
        <f t="shared" si="4"/>
        <v>1</v>
      </c>
    </row>
    <row r="35" spans="1:11" x14ac:dyDescent="0.25">
      <c r="A35" s="2" t="s">
        <v>36</v>
      </c>
      <c r="C35" s="2" t="s">
        <v>36</v>
      </c>
      <c r="E35" t="str">
        <f t="shared" si="0"/>
        <v>SERGIPE</v>
      </c>
      <c r="F35" s="1">
        <f t="shared" si="1"/>
        <v>2</v>
      </c>
      <c r="H35" t="str">
        <f t="shared" si="11"/>
        <v>SERGIPE</v>
      </c>
      <c r="I35" s="1">
        <f t="shared" si="12"/>
        <v>2</v>
      </c>
      <c r="K35" t="b">
        <f t="shared" si="4"/>
        <v>1</v>
      </c>
    </row>
    <row r="36" spans="1:11" x14ac:dyDescent="0.25">
      <c r="A36" s="2" t="s">
        <v>37</v>
      </c>
      <c r="C36" s="2" t="s">
        <v>37</v>
      </c>
      <c r="E36" t="str">
        <f t="shared" si="0"/>
        <v>RIO GRANDE DO NORTE</v>
      </c>
      <c r="F36" s="1">
        <f t="shared" si="1"/>
        <v>4</v>
      </c>
      <c r="H36" t="str">
        <f t="shared" si="11"/>
        <v>RIO GRANDE DO NORTE</v>
      </c>
      <c r="I36" s="1">
        <f t="shared" si="12"/>
        <v>4</v>
      </c>
      <c r="K36" t="b">
        <f t="shared" si="4"/>
        <v>1</v>
      </c>
    </row>
    <row r="37" spans="1:11" x14ac:dyDescent="0.25">
      <c r="A37" s="2" t="s">
        <v>38</v>
      </c>
      <c r="C37" s="2" t="s">
        <v>38</v>
      </c>
      <c r="E37" t="str">
        <f t="shared" si="0"/>
        <v>PIAUÍ</v>
      </c>
      <c r="F37" s="1">
        <f t="shared" si="1"/>
        <v>5</v>
      </c>
      <c r="H37" t="str">
        <f t="shared" si="11"/>
        <v>PIAUÍ</v>
      </c>
      <c r="I37" s="1">
        <f t="shared" si="12"/>
        <v>5</v>
      </c>
      <c r="K37" t="b">
        <f t="shared" si="4"/>
        <v>1</v>
      </c>
    </row>
    <row r="38" spans="1:11" x14ac:dyDescent="0.25">
      <c r="A38" s="2" t="s">
        <v>39</v>
      </c>
      <c r="C38" s="2" t="s">
        <v>39</v>
      </c>
      <c r="E38" t="str">
        <f t="shared" si="0"/>
        <v>PERNAMBUCO</v>
      </c>
      <c r="F38" s="1">
        <f t="shared" si="1"/>
        <v>9</v>
      </c>
      <c r="H38" t="str">
        <f t="shared" si="11"/>
        <v>PERNAMBUCO</v>
      </c>
      <c r="I38" s="1">
        <f t="shared" si="12"/>
        <v>9</v>
      </c>
      <c r="K38" t="b">
        <f t="shared" si="4"/>
        <v>1</v>
      </c>
    </row>
    <row r="39" spans="1:11" x14ac:dyDescent="0.25">
      <c r="A39" s="2" t="s">
        <v>40</v>
      </c>
      <c r="C39" s="2" t="s">
        <v>40</v>
      </c>
      <c r="E39" t="str">
        <f t="shared" si="0"/>
        <v>PARAÍBA</v>
      </c>
      <c r="F39" s="1">
        <f t="shared" si="1"/>
        <v>6</v>
      </c>
      <c r="H39" t="str">
        <f t="shared" si="11"/>
        <v>PARAÍBA</v>
      </c>
      <c r="I39" s="1">
        <f t="shared" si="12"/>
        <v>6</v>
      </c>
      <c r="K39" t="b">
        <f t="shared" si="4"/>
        <v>1</v>
      </c>
    </row>
    <row r="40" spans="1:11" x14ac:dyDescent="0.25">
      <c r="A40" s="2" t="s">
        <v>41</v>
      </c>
      <c r="C40" s="2" t="s">
        <v>41</v>
      </c>
      <c r="E40" t="str">
        <f t="shared" si="0"/>
        <v>MARANHÃO</v>
      </c>
      <c r="F40" s="1">
        <f t="shared" si="1"/>
        <v>6</v>
      </c>
      <c r="H40" t="str">
        <f t="shared" si="11"/>
        <v>MARANHÃO</v>
      </c>
      <c r="I40" s="1">
        <f t="shared" si="12"/>
        <v>6</v>
      </c>
      <c r="K40" t="b">
        <f t="shared" si="4"/>
        <v>1</v>
      </c>
    </row>
    <row r="41" spans="1:11" x14ac:dyDescent="0.25">
      <c r="A41" s="2" t="s">
        <v>42</v>
      </c>
      <c r="C41" s="2" t="s">
        <v>42</v>
      </c>
      <c r="E41" t="str">
        <f t="shared" si="0"/>
        <v>CEARÁ</v>
      </c>
      <c r="F41" s="1">
        <f t="shared" si="1"/>
        <v>12</v>
      </c>
      <c r="H41" t="str">
        <f t="shared" si="11"/>
        <v>CEARÁ</v>
      </c>
      <c r="I41" s="1">
        <f t="shared" si="12"/>
        <v>12</v>
      </c>
      <c r="K41" t="b">
        <f t="shared" si="4"/>
        <v>1</v>
      </c>
    </row>
    <row r="42" spans="1:11" x14ac:dyDescent="0.25">
      <c r="A42" s="2" t="s">
        <v>43</v>
      </c>
      <c r="C42" s="2" t="s">
        <v>43</v>
      </c>
      <c r="E42" t="str">
        <f t="shared" si="0"/>
        <v>BAHIA</v>
      </c>
      <c r="F42" s="1">
        <f t="shared" si="1"/>
        <v>8</v>
      </c>
      <c r="H42" t="str">
        <f t="shared" si="11"/>
        <v>BAHIA</v>
      </c>
      <c r="I42" s="1">
        <f t="shared" si="12"/>
        <v>8</v>
      </c>
      <c r="K42" t="b">
        <f t="shared" si="4"/>
        <v>1</v>
      </c>
    </row>
    <row r="43" spans="1:11" x14ac:dyDescent="0.25">
      <c r="A43" s="2" t="s">
        <v>44</v>
      </c>
      <c r="C43" s="2" t="s">
        <v>44</v>
      </c>
      <c r="E43" t="str">
        <f t="shared" si="0"/>
        <v>ALAGOAS</v>
      </c>
      <c r="F43" s="1">
        <f t="shared" si="1"/>
        <v>4</v>
      </c>
      <c r="H43" t="str">
        <f t="shared" si="11"/>
        <v>ALAGOAS</v>
      </c>
      <c r="I43" s="1">
        <f t="shared" si="12"/>
        <v>4</v>
      </c>
      <c r="K43" t="b">
        <f t="shared" si="4"/>
        <v>1</v>
      </c>
    </row>
    <row r="44" spans="1:11" x14ac:dyDescent="0.25">
      <c r="A44" s="2" t="s">
        <v>6</v>
      </c>
      <c r="C44" s="2" t="s">
        <v>6</v>
      </c>
      <c r="E44" t="str">
        <f t="shared" si="0"/>
        <v>TOCANTINS</v>
      </c>
      <c r="F44" s="1">
        <f t="shared" si="1"/>
        <v>1</v>
      </c>
      <c r="H44" t="str">
        <f t="shared" si="11"/>
        <v>TOCANTINS</v>
      </c>
      <c r="I44" s="1">
        <f t="shared" si="12"/>
        <v>1</v>
      </c>
      <c r="K44" t="b">
        <f t="shared" si="4"/>
        <v>1</v>
      </c>
    </row>
    <row r="45" spans="1:11" x14ac:dyDescent="0.25">
      <c r="A45" s="2" t="s">
        <v>45</v>
      </c>
      <c r="C45" s="2" t="s">
        <v>45</v>
      </c>
      <c r="E45" t="str">
        <f t="shared" si="0"/>
        <v>RONDÔNIA</v>
      </c>
      <c r="F45" s="1">
        <f t="shared" si="1"/>
        <v>4</v>
      </c>
      <c r="H45" t="str">
        <f t="shared" si="11"/>
        <v>RONDÔNIA</v>
      </c>
      <c r="I45" s="1">
        <f t="shared" si="12"/>
        <v>4</v>
      </c>
      <c r="K45" t="b">
        <f t="shared" si="4"/>
        <v>1</v>
      </c>
    </row>
    <row r="46" spans="1:11" x14ac:dyDescent="0.25">
      <c r="A46" s="2" t="s">
        <v>46</v>
      </c>
      <c r="C46" s="2" t="s">
        <v>46</v>
      </c>
      <c r="E46" t="str">
        <f t="shared" si="0"/>
        <v>PARÁ</v>
      </c>
      <c r="F46" s="1">
        <f t="shared" si="1"/>
        <v>5</v>
      </c>
      <c r="H46" t="str">
        <f t="shared" si="11"/>
        <v>PARÁ</v>
      </c>
      <c r="I46" s="1">
        <f t="shared" si="12"/>
        <v>5</v>
      </c>
      <c r="K46" t="b">
        <f t="shared" si="4"/>
        <v>1</v>
      </c>
    </row>
    <row r="47" spans="1:11" x14ac:dyDescent="0.25">
      <c r="A47" s="2" t="s">
        <v>8</v>
      </c>
      <c r="C47" s="2" t="s">
        <v>8</v>
      </c>
      <c r="E47" t="str">
        <f t="shared" si="0"/>
        <v>AMAPÁ</v>
      </c>
      <c r="F47" s="1">
        <f t="shared" si="1"/>
        <v>1</v>
      </c>
      <c r="H47" t="str">
        <f t="shared" si="11"/>
        <v>AMAPÁ</v>
      </c>
      <c r="I47" s="1">
        <f t="shared" si="12"/>
        <v>1</v>
      </c>
      <c r="K47" t="b">
        <f t="shared" si="4"/>
        <v>1</v>
      </c>
    </row>
    <row r="48" spans="1:11" x14ac:dyDescent="0.25">
      <c r="A48" s="2" t="s">
        <v>47</v>
      </c>
      <c r="C48" s="2" t="s">
        <v>47</v>
      </c>
      <c r="E48" t="str">
        <f t="shared" si="0"/>
        <v>AMAZONAS</v>
      </c>
      <c r="F48" s="1">
        <f t="shared" si="1"/>
        <v>4</v>
      </c>
      <c r="H48" t="str">
        <f t="shared" si="11"/>
        <v>AMAZONAS</v>
      </c>
      <c r="I48" s="1">
        <f t="shared" si="12"/>
        <v>4</v>
      </c>
      <c r="K48" t="b">
        <f t="shared" si="4"/>
        <v>1</v>
      </c>
    </row>
    <row r="49" spans="1:11" x14ac:dyDescent="0.25">
      <c r="A49" s="2" t="s">
        <v>48</v>
      </c>
      <c r="C49" s="2" t="s">
        <v>48</v>
      </c>
      <c r="E49" t="str">
        <f t="shared" si="0"/>
        <v>MATO GROSSO</v>
      </c>
      <c r="F49" s="1">
        <f t="shared" si="1"/>
        <v>20</v>
      </c>
      <c r="H49" t="str">
        <f t="shared" si="11"/>
        <v>MATO GROSSO</v>
      </c>
      <c r="I49" s="1">
        <f t="shared" si="12"/>
        <v>20</v>
      </c>
      <c r="K49" t="b">
        <f t="shared" si="4"/>
        <v>1</v>
      </c>
    </row>
    <row r="50" spans="1:11" x14ac:dyDescent="0.25">
      <c r="A50" s="2" t="s">
        <v>49</v>
      </c>
      <c r="C50" s="2" t="s">
        <v>49</v>
      </c>
      <c r="E50" t="str">
        <f t="shared" si="0"/>
        <v>NACIONAL</v>
      </c>
      <c r="F50" s="1">
        <f t="shared" si="1"/>
        <v>2</v>
      </c>
      <c r="H50" t="str">
        <f t="shared" si="11"/>
        <v>NACIONAL</v>
      </c>
      <c r="I50" s="1">
        <f t="shared" si="12"/>
        <v>2</v>
      </c>
      <c r="K50" t="b">
        <f t="shared" si="4"/>
        <v>1</v>
      </c>
    </row>
    <row r="51" spans="1:11" x14ac:dyDescent="0.25">
      <c r="A51" s="2" t="s">
        <v>50</v>
      </c>
      <c r="C51" s="2" t="s">
        <v>50</v>
      </c>
      <c r="E51" t="str">
        <f t="shared" si="0"/>
        <v>SÃO PAULO</v>
      </c>
      <c r="F51" s="1">
        <f t="shared" si="1"/>
        <v>41</v>
      </c>
      <c r="H51" t="str">
        <f t="shared" si="11"/>
        <v>SÃO PAULO</v>
      </c>
      <c r="I51" s="1">
        <f t="shared" si="12"/>
        <v>41</v>
      </c>
      <c r="K51" t="b">
        <f t="shared" si="4"/>
        <v>1</v>
      </c>
    </row>
    <row r="52" spans="1:11" x14ac:dyDescent="0.25">
      <c r="A52" s="2" t="s">
        <v>51</v>
      </c>
      <c r="C52" s="2" t="s">
        <v>51</v>
      </c>
      <c r="E52" t="str">
        <f t="shared" si="0"/>
        <v>PARANÁ</v>
      </c>
      <c r="F52" s="1">
        <f t="shared" si="1"/>
        <v>16</v>
      </c>
      <c r="H52" t="str">
        <f t="shared" si="11"/>
        <v>PARANÁ</v>
      </c>
      <c r="I52" s="1">
        <f t="shared" si="12"/>
        <v>16</v>
      </c>
      <c r="K52" t="b">
        <f t="shared" si="4"/>
        <v>1</v>
      </c>
    </row>
    <row r="53" spans="1:11" x14ac:dyDescent="0.25">
      <c r="A53" s="2" t="s">
        <v>52</v>
      </c>
      <c r="C53" t="s">
        <v>52</v>
      </c>
      <c r="E53" t="str">
        <f t="shared" si="0"/>
        <v>REGIÃO SUDESTE</v>
      </c>
      <c r="F53" s="1">
        <f t="shared" si="1"/>
        <v>1</v>
      </c>
      <c r="H53" t="str">
        <f t="shared" si="11"/>
        <v>REGIÃO SUDESTE</v>
      </c>
      <c r="I53" s="1">
        <f t="shared" si="12"/>
        <v>1</v>
      </c>
      <c r="K53" t="b">
        <f t="shared" si="4"/>
        <v>1</v>
      </c>
    </row>
    <row r="54" spans="1:11" x14ac:dyDescent="0.25">
      <c r="A54" t="s">
        <v>9</v>
      </c>
      <c r="C54" t="s">
        <v>52</v>
      </c>
      <c r="E54" t="str">
        <f t="shared" si="0"/>
        <v>PARANÁ</v>
      </c>
      <c r="F54" s="1">
        <f t="shared" si="1"/>
        <v>20</v>
      </c>
      <c r="H54" t="str">
        <f t="shared" si="11"/>
        <v>REGIÃO SUDESTE</v>
      </c>
      <c r="I54" s="1">
        <f t="shared" si="12"/>
        <v>1</v>
      </c>
      <c r="K54" t="str">
        <f t="shared" si="4"/>
        <v>FALSO -19</v>
      </c>
    </row>
    <row r="55" spans="1:11" x14ac:dyDescent="0.25">
      <c r="A55" t="s">
        <v>10</v>
      </c>
      <c r="E55" t="str">
        <f t="shared" si="0"/>
        <v>REGIÃO SUDESTE</v>
      </c>
      <c r="F55" s="1">
        <f t="shared" si="1"/>
        <v>2</v>
      </c>
      <c r="H55" t="e">
        <f t="shared" si="11"/>
        <v>#VALUE!</v>
      </c>
      <c r="I55" s="1" t="e">
        <f t="shared" si="12"/>
        <v>#VALUE!</v>
      </c>
      <c r="K55" t="e">
        <f t="shared" si="4"/>
        <v>#VALUE!</v>
      </c>
    </row>
    <row r="56" spans="1:11" x14ac:dyDescent="0.25">
      <c r="A56" t="s">
        <v>10</v>
      </c>
      <c r="E56" t="str">
        <f t="shared" si="0"/>
        <v>REGIÃO SUDESTE</v>
      </c>
      <c r="F56" s="1">
        <f t="shared" si="1"/>
        <v>2</v>
      </c>
      <c r="H56" t="e">
        <f t="shared" si="11"/>
        <v>#VALUE!</v>
      </c>
      <c r="I56" s="1" t="e">
        <f t="shared" si="12"/>
        <v>#VALUE!</v>
      </c>
      <c r="K56" t="e">
        <f t="shared" si="4"/>
        <v>#VALUE!</v>
      </c>
    </row>
    <row r="57" spans="1:11" x14ac:dyDescent="0.25">
      <c r="A57" t="s">
        <v>11</v>
      </c>
      <c r="E57" t="str">
        <f t="shared" ref="E57:E59" si="13">LEFT(A57,SEARCH(": ",A57)-1)</f>
        <v>NÃO CLASSIFICADOS</v>
      </c>
      <c r="F57" s="1">
        <f t="shared" ref="F57:F59" si="14">VALUE(RIGHT(A57,LEN(A57)-SEARCH(": ",A57)-1))</f>
        <v>2</v>
      </c>
      <c r="H57" t="e">
        <f t="shared" ref="H57:H59" si="15">LEFT(C57,SEARCH(": ",C57)-1)</f>
        <v>#VALUE!</v>
      </c>
      <c r="I57" s="1" t="e">
        <f t="shared" ref="I57:I59" si="16">VALUE(RIGHT(C57,LEN(C57)-SEARCH(": ",C57)-1))</f>
        <v>#VALUE!</v>
      </c>
      <c r="K57" t="e">
        <f t="shared" ref="K57:K59" si="17">IF(F57=I57,F57=I57,(F57=I57)&amp;" "&amp;(I57-F57))</f>
        <v>#VALUE!</v>
      </c>
    </row>
    <row r="58" spans="1:11" x14ac:dyDescent="0.25">
      <c r="E58" t="e">
        <f t="shared" si="13"/>
        <v>#VALUE!</v>
      </c>
      <c r="F58" s="1" t="e">
        <f t="shared" si="14"/>
        <v>#VALUE!</v>
      </c>
      <c r="H58" t="e">
        <f t="shared" si="15"/>
        <v>#VALUE!</v>
      </c>
      <c r="I58" s="1" t="e">
        <f t="shared" si="16"/>
        <v>#VALUE!</v>
      </c>
      <c r="K58" t="e">
        <f t="shared" si="17"/>
        <v>#VALUE!</v>
      </c>
    </row>
    <row r="59" spans="1:11" x14ac:dyDescent="0.25">
      <c r="E59" t="e">
        <f t="shared" si="13"/>
        <v>#VALUE!</v>
      </c>
      <c r="F59" s="1" t="e">
        <f t="shared" si="14"/>
        <v>#VALUE!</v>
      </c>
      <c r="H59" t="e">
        <f t="shared" si="15"/>
        <v>#VALUE!</v>
      </c>
      <c r="I59" s="1" t="e">
        <f t="shared" si="16"/>
        <v>#VALUE!</v>
      </c>
      <c r="K59" t="e">
        <f t="shared" si="17"/>
        <v>#VALUE!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2025-11-16T12:38:28Z</dcterms:created>
  <dcterms:modified xsi:type="dcterms:W3CDTF">2025-11-20T18:44:44Z</dcterms:modified>
</cp:coreProperties>
</file>